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Sites\chicorylane\projects\ecologicalEnhancement\projectsRiparian\riparianNorth\"/>
    </mc:Choice>
  </mc:AlternateContent>
  <xr:revisionPtr revIDLastSave="0" documentId="13_ncr:1_{A1EE0034-3D28-4D9B-A34D-C1B6D777ACC0}" xr6:coauthVersionLast="47" xr6:coauthVersionMax="47" xr10:uidLastSave="{00000000-0000-0000-0000-000000000000}"/>
  <bookViews>
    <workbookView xWindow="1812" yWindow="576" windowWidth="14400" windowHeight="117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8" i="1" l="1"/>
  <c r="B29" i="1" s="1"/>
  <c r="B30" i="1" s="1"/>
  <c r="B49" i="1" l="1"/>
  <c r="B50" i="1" s="1"/>
  <c r="B51" i="1" s="1"/>
  <c r="B52" i="1" s="1"/>
  <c r="B53" i="1" s="1"/>
  <c r="B31" i="1" l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58" i="1"/>
  <c r="B59" i="1"/>
  <c r="B60" i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56" i="1"/>
  <c r="B96" i="1"/>
  <c r="B97" i="1" s="1"/>
  <c r="B98" i="1" s="1"/>
  <c r="B93" i="1"/>
  <c r="B94" i="1" s="1"/>
  <c r="B100" i="1" l="1"/>
</calcChain>
</file>

<file path=xl/sharedStrings.xml><?xml version="1.0" encoding="utf-8"?>
<sst xmlns="http://schemas.openxmlformats.org/spreadsheetml/2006/main" count="201" uniqueCount="196">
  <si>
    <t>type</t>
  </si>
  <si>
    <t>common name</t>
  </si>
  <si>
    <t>biological name</t>
  </si>
  <si>
    <t>number</t>
  </si>
  <si>
    <t>note</t>
  </si>
  <si>
    <t>Amelanchier canadensis</t>
  </si>
  <si>
    <t>Serviceberry</t>
  </si>
  <si>
    <t>Red Maple</t>
  </si>
  <si>
    <t>Acer rubrum</t>
  </si>
  <si>
    <t>Black Walnut</t>
  </si>
  <si>
    <t>Juglans nigra</t>
  </si>
  <si>
    <t>frill cutting</t>
  </si>
  <si>
    <t>Hawthorn</t>
  </si>
  <si>
    <t>Crataegus sp.</t>
  </si>
  <si>
    <t>Black Cherry</t>
  </si>
  <si>
    <t>White Pine</t>
  </si>
  <si>
    <t>Pinus strobus</t>
  </si>
  <si>
    <t>host of diseases</t>
  </si>
  <si>
    <t>Prunus serotina</t>
  </si>
  <si>
    <t>Hophornebeam</t>
  </si>
  <si>
    <t>Ostrya virginiana</t>
  </si>
  <si>
    <t>American Plum</t>
  </si>
  <si>
    <t>Prunus americana</t>
  </si>
  <si>
    <t>Hybrid Poplar</t>
  </si>
  <si>
    <t>introduced along streambank</t>
  </si>
  <si>
    <t>managed</t>
  </si>
  <si>
    <t>Apple</t>
  </si>
  <si>
    <t>Malus domestica</t>
  </si>
  <si>
    <t>Red Oak</t>
  </si>
  <si>
    <t>Querus rubra</t>
  </si>
  <si>
    <t>Gray Dogwood</t>
  </si>
  <si>
    <t>Spicebush</t>
  </si>
  <si>
    <t>Autumn Olive</t>
  </si>
  <si>
    <t>Multiflora Rose</t>
  </si>
  <si>
    <t>Honeysuckle</t>
  </si>
  <si>
    <t>Barberry</t>
  </si>
  <si>
    <t>Arrowwood Viburnum</t>
  </si>
  <si>
    <t>Cranberry Viburnum</t>
  </si>
  <si>
    <t>Blackhaw Viburnum</t>
  </si>
  <si>
    <t>Nannyberry</t>
  </si>
  <si>
    <t>invasive, spraying</t>
  </si>
  <si>
    <t>introduced</t>
  </si>
  <si>
    <t>Salix sp.</t>
  </si>
  <si>
    <t>Cornus racemosa</t>
  </si>
  <si>
    <t>Eleaganus umbellata</t>
  </si>
  <si>
    <t>Rosa multiflora</t>
  </si>
  <si>
    <t>Lonicera spp.</t>
  </si>
  <si>
    <t>Berberis</t>
  </si>
  <si>
    <t>V. dentatum</t>
  </si>
  <si>
    <t>V. triobum</t>
  </si>
  <si>
    <t>V. prunifolium</t>
  </si>
  <si>
    <t>V. lentago</t>
  </si>
  <si>
    <t>Alnus incana</t>
  </si>
  <si>
    <t>Spckled Alder</t>
  </si>
  <si>
    <t>Rubus occidentalis</t>
  </si>
  <si>
    <t>Poisin Ivy</t>
  </si>
  <si>
    <t>Fox Grape</t>
  </si>
  <si>
    <t>Virginia Creeper</t>
  </si>
  <si>
    <t>Lindera benzoin</t>
  </si>
  <si>
    <t>Red Cedar</t>
  </si>
  <si>
    <t>Juniperus virginiana</t>
  </si>
  <si>
    <t>Staghorn Sumac</t>
  </si>
  <si>
    <t>Rhus typhinas</t>
  </si>
  <si>
    <t>Quaking Aspen</t>
  </si>
  <si>
    <t>Populus deltoides x  nigra</t>
  </si>
  <si>
    <t>Populus tremuloides</t>
  </si>
  <si>
    <t>Box Elder</t>
  </si>
  <si>
    <t>Black Locust</t>
  </si>
  <si>
    <t>Crack Willow</t>
  </si>
  <si>
    <t>Shrub Willow (1)</t>
  </si>
  <si>
    <t>Shrub Willow (2)</t>
  </si>
  <si>
    <t>Winterberry</t>
  </si>
  <si>
    <t>American Elm</t>
  </si>
  <si>
    <t>Acer negundo</t>
  </si>
  <si>
    <t>Robinia pseudoacacia</t>
  </si>
  <si>
    <t>Salix fragilis</t>
  </si>
  <si>
    <t>Ilix verticillata</t>
  </si>
  <si>
    <t>Fraxinus pennsylvanica</t>
  </si>
  <si>
    <t>Quereus bicolor</t>
  </si>
  <si>
    <t>Carya ovataq</t>
  </si>
  <si>
    <t>seedlings</t>
  </si>
  <si>
    <t>Ulmus americana</t>
  </si>
  <si>
    <t>White Avens</t>
  </si>
  <si>
    <t>Genum canadense</t>
  </si>
  <si>
    <t>?</t>
  </si>
  <si>
    <t>Water Hemlock</t>
  </si>
  <si>
    <t>Jewelweed</t>
  </si>
  <si>
    <t>Dock</t>
  </si>
  <si>
    <t>Sensitive Feern</t>
  </si>
  <si>
    <t>Reed Canary Grass</t>
  </si>
  <si>
    <t>Dame's Rocket</t>
  </si>
  <si>
    <t>Canada Thistle</t>
  </si>
  <si>
    <t>Graminoids</t>
  </si>
  <si>
    <t>Herbaceous</t>
  </si>
  <si>
    <t>Vines</t>
  </si>
  <si>
    <t>Shrubs</t>
  </si>
  <si>
    <t>Trees</t>
  </si>
  <si>
    <t>Tussock Sedge</t>
  </si>
  <si>
    <t>Carex stricta</t>
  </si>
  <si>
    <t>Hesperis matronalis</t>
  </si>
  <si>
    <t>Moneywort</t>
  </si>
  <si>
    <t>Golder Ragwort</t>
  </si>
  <si>
    <t>Acorus calamus</t>
  </si>
  <si>
    <t>Sweet Flag</t>
  </si>
  <si>
    <t>Buttercup</t>
  </si>
  <si>
    <t>Loosestrive (Whoreled Yellow)</t>
  </si>
  <si>
    <t>Willowleaf Amsoinia</t>
  </si>
  <si>
    <t>Soapwort</t>
  </si>
  <si>
    <t>Daisy</t>
  </si>
  <si>
    <t>Canada Lily</t>
  </si>
  <si>
    <t>White Clover</t>
  </si>
  <si>
    <t>Hawkweed</t>
  </si>
  <si>
    <t>Pinks</t>
  </si>
  <si>
    <t>Asparagus</t>
  </si>
  <si>
    <t>Green Headed Conefloweer</t>
  </si>
  <si>
    <t>Rudbeckia laciniata</t>
  </si>
  <si>
    <t>Yellow Salsify</t>
  </si>
  <si>
    <t>Teasel</t>
  </si>
  <si>
    <t>New England Aster</t>
  </si>
  <si>
    <t>Polygonum pensylvanicum</t>
  </si>
  <si>
    <t>Pennsylvania Smartweed</t>
  </si>
  <si>
    <t>Rice Cutgrass</t>
  </si>
  <si>
    <t>Horsetail</t>
  </si>
  <si>
    <t>Soft Rush</t>
  </si>
  <si>
    <t>Spagnum</t>
  </si>
  <si>
    <t>Peat Moss</t>
  </si>
  <si>
    <t>index</t>
  </si>
  <si>
    <t>Cicuta maculata</t>
  </si>
  <si>
    <t>Impatiens capensis</t>
  </si>
  <si>
    <t>Rumex crispus</t>
  </si>
  <si>
    <t>Onoclea sensibili</t>
  </si>
  <si>
    <t>Phalaris arundinacea</t>
  </si>
  <si>
    <t>Echinocystis lobata</t>
  </si>
  <si>
    <t>Cirsium arvense</t>
  </si>
  <si>
    <t>Solidago spp.</t>
  </si>
  <si>
    <t>Lysimachia nummularia</t>
  </si>
  <si>
    <t>Packera aurea</t>
  </si>
  <si>
    <t>Ranunculus acris</t>
  </si>
  <si>
    <t>Total</t>
  </si>
  <si>
    <t>Asparagus officinalis</t>
  </si>
  <si>
    <t>Lilium canadense</t>
  </si>
  <si>
    <t>Bellis perennis</t>
  </si>
  <si>
    <t>Hieracium</t>
  </si>
  <si>
    <t>Apocynum cannabinum</t>
  </si>
  <si>
    <t>Lythrum salicarria</t>
  </si>
  <si>
    <t>Lysimachia quadrifolia</t>
  </si>
  <si>
    <t>Symphyotrichum novae-angliae</t>
  </si>
  <si>
    <t>Dianthus</t>
  </si>
  <si>
    <t>Saponaria ocymoides</t>
  </si>
  <si>
    <t>Dipsacus fullonum</t>
  </si>
  <si>
    <t>Trifolium repens</t>
  </si>
  <si>
    <t>Amsonia tabernaemontana</t>
  </si>
  <si>
    <t>Tragopogon dubius</t>
  </si>
  <si>
    <t>Leersia oryzoides</t>
  </si>
  <si>
    <t>Equisetum arvense</t>
  </si>
  <si>
    <t>Juncus effusus</t>
  </si>
  <si>
    <t>medicinal</t>
  </si>
  <si>
    <t>Green Ash</t>
  </si>
  <si>
    <t>deadly</t>
  </si>
  <si>
    <t>Swamp White Oak</t>
  </si>
  <si>
    <t xml:space="preserve">Shagbark Hickory </t>
  </si>
  <si>
    <t>Black Rasberry</t>
  </si>
  <si>
    <t>(Native)</t>
  </si>
  <si>
    <t xml:space="preserve">Goldernrod </t>
  </si>
  <si>
    <t>Indian Hemp</t>
  </si>
  <si>
    <t xml:space="preserve"> (Dogbane)</t>
  </si>
  <si>
    <t>Purple Loosestrive</t>
  </si>
  <si>
    <t xml:space="preserve">American Bittersweet </t>
  </si>
  <si>
    <t>Celastrus scandens</t>
  </si>
  <si>
    <t>Vitis labrusca</t>
  </si>
  <si>
    <t>Toxicodendron radicans</t>
  </si>
  <si>
    <t>Parthenocissus quinquefolia</t>
  </si>
  <si>
    <t>Cucumber Vine</t>
  </si>
  <si>
    <t>(Wild)</t>
  </si>
  <si>
    <t>Oriental Bittersweet</t>
  </si>
  <si>
    <t>Celastrus orbiculatus</t>
  </si>
  <si>
    <t>Tall Meadow Rue</t>
  </si>
  <si>
    <t>Thalictrum pubescens</t>
  </si>
  <si>
    <t>Privet</t>
  </si>
  <si>
    <t>Oleaceae</t>
  </si>
  <si>
    <t>Joe Pye Weed</t>
  </si>
  <si>
    <t>Eupatorium fistulosum</t>
  </si>
  <si>
    <t>Ragweed</t>
  </si>
  <si>
    <t>Ambrosia artemisiifolia </t>
  </si>
  <si>
    <t>cornus alternifolia</t>
  </si>
  <si>
    <t>Boneset</t>
  </si>
  <si>
    <t>Eupatorium perfoliatum</t>
  </si>
  <si>
    <t>Persicaria sagittata</t>
  </si>
  <si>
    <t>Strophostyles umbellata</t>
  </si>
  <si>
    <t>Pink Wild Bean</t>
  </si>
  <si>
    <t>Blackberry</t>
  </si>
  <si>
    <t>Arrow-Leaved Tearthumb</t>
  </si>
  <si>
    <t>Rubus rosaceae</t>
  </si>
  <si>
    <t>Silky Dogwood</t>
  </si>
  <si>
    <t>Cormus amomum</t>
  </si>
  <si>
    <t>Alternate-leaf Dogwood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</si>
</sst>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02E2A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Strophostyles_umbellata" TargetMode="External"/><Relationship Id="rId2" Type="http://schemas.openxmlformats.org/officeDocument/2006/relationships/hyperlink" Target="https://www.minnesotawildflowers.info/flower/arrow-leaved-tearthumb" TargetMode="External"/><Relationship Id="rId1" Type="http://schemas.openxmlformats.org/officeDocument/2006/relationships/hyperlink" Target="https://www.wildflower.org/plants/result.php?id_plant=eupe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n.wikipedia.org/wiki/Strophostyles_umbell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0"/>
  <sheetViews>
    <sheetView tabSelected="1" topLeftCell="A10" zoomScaleNormal="100" workbookViewId="0">
      <selection activeCell="H22" sqref="H22"/>
    </sheetView>
  </sheetViews>
  <sheetFormatPr defaultRowHeight="14.4" x14ac:dyDescent="0.3"/>
  <cols>
    <col min="1" max="1" width="11.109375" style="6" customWidth="1"/>
    <col min="2" max="2" width="7.5546875" style="4" customWidth="1"/>
    <col min="3" max="3" width="29.77734375" style="1" customWidth="1"/>
    <col min="4" max="4" width="29.44140625" style="1" customWidth="1"/>
    <col min="5" max="5" width="7.21875" style="2" customWidth="1"/>
    <col min="6" max="6" width="15.88671875" style="1" customWidth="1"/>
  </cols>
  <sheetData>
    <row r="1" spans="1:6" s="9" customFormat="1" x14ac:dyDescent="0.3">
      <c r="A1" s="6" t="s">
        <v>0</v>
      </c>
      <c r="B1" s="7" t="s">
        <v>126</v>
      </c>
      <c r="C1" s="6" t="s">
        <v>1</v>
      </c>
      <c r="D1" s="6" t="s">
        <v>2</v>
      </c>
      <c r="E1" s="8" t="s">
        <v>3</v>
      </c>
      <c r="F1" s="6" t="s">
        <v>4</v>
      </c>
    </row>
    <row r="3" spans="1:6" x14ac:dyDescent="0.3">
      <c r="A3" s="6" t="s">
        <v>96</v>
      </c>
    </row>
    <row r="4" spans="1:6" x14ac:dyDescent="0.3">
      <c r="B4" s="4">
        <v>1</v>
      </c>
      <c r="C4" s="1" t="s">
        <v>72</v>
      </c>
      <c r="D4" s="1" t="s">
        <v>81</v>
      </c>
      <c r="E4" s="2">
        <v>10</v>
      </c>
    </row>
    <row r="5" spans="1:6" x14ac:dyDescent="0.3">
      <c r="B5" s="4">
        <f t="shared" ref="B5:B23" si="0">B4+1</f>
        <v>2</v>
      </c>
      <c r="C5" s="1" t="s">
        <v>26</v>
      </c>
      <c r="D5" s="1" t="s">
        <v>27</v>
      </c>
      <c r="E5" s="2">
        <v>1</v>
      </c>
    </row>
    <row r="6" spans="1:6" x14ac:dyDescent="0.3">
      <c r="B6" s="4">
        <f t="shared" si="0"/>
        <v>3</v>
      </c>
      <c r="C6" s="1" t="s">
        <v>14</v>
      </c>
      <c r="D6" s="1" t="s">
        <v>18</v>
      </c>
      <c r="E6" s="2">
        <v>10</v>
      </c>
      <c r="F6" s="1" t="s">
        <v>17</v>
      </c>
    </row>
    <row r="7" spans="1:6" ht="14.4" customHeight="1" x14ac:dyDescent="0.3">
      <c r="B7" s="4">
        <f t="shared" si="0"/>
        <v>4</v>
      </c>
      <c r="C7" s="1" t="s">
        <v>67</v>
      </c>
      <c r="D7" s="1" t="s">
        <v>74</v>
      </c>
      <c r="E7" s="2">
        <v>10</v>
      </c>
      <c r="F7" s="1" t="s">
        <v>156</v>
      </c>
    </row>
    <row r="8" spans="1:6" ht="14.4" customHeight="1" x14ac:dyDescent="0.3">
      <c r="B8" s="4">
        <f t="shared" si="0"/>
        <v>5</v>
      </c>
      <c r="C8" s="1" t="s">
        <v>9</v>
      </c>
      <c r="D8" s="1" t="s">
        <v>10</v>
      </c>
      <c r="E8" s="2">
        <v>10</v>
      </c>
      <c r="F8" s="1" t="s">
        <v>11</v>
      </c>
    </row>
    <row r="9" spans="1:6" x14ac:dyDescent="0.3">
      <c r="B9" s="4">
        <f t="shared" si="0"/>
        <v>6</v>
      </c>
      <c r="C9" s="1" t="s">
        <v>66</v>
      </c>
      <c r="D9" s="1" t="s">
        <v>73</v>
      </c>
      <c r="E9" s="2">
        <v>1</v>
      </c>
    </row>
    <row r="10" spans="1:6" x14ac:dyDescent="0.3">
      <c r="B10" s="4">
        <f t="shared" si="0"/>
        <v>7</v>
      </c>
      <c r="C10" s="1" t="s">
        <v>68</v>
      </c>
      <c r="D10" s="1" t="s">
        <v>75</v>
      </c>
      <c r="E10" s="2">
        <v>1</v>
      </c>
    </row>
    <row r="11" spans="1:6" x14ac:dyDescent="0.3">
      <c r="B11" s="4">
        <f t="shared" si="0"/>
        <v>8</v>
      </c>
      <c r="C11" s="1" t="s">
        <v>157</v>
      </c>
      <c r="D11" s="1" t="s">
        <v>77</v>
      </c>
      <c r="E11" s="2">
        <v>10</v>
      </c>
    </row>
    <row r="12" spans="1:6" x14ac:dyDescent="0.3">
      <c r="B12" s="4">
        <f t="shared" si="0"/>
        <v>9</v>
      </c>
      <c r="C12" s="1" t="s">
        <v>12</v>
      </c>
      <c r="D12" s="1" t="s">
        <v>13</v>
      </c>
      <c r="E12" s="2">
        <v>1</v>
      </c>
    </row>
    <row r="13" spans="1:6" s="5" customFormat="1" ht="14.4" customHeight="1" x14ac:dyDescent="0.3">
      <c r="A13" s="6"/>
      <c r="B13" s="4">
        <f t="shared" si="0"/>
        <v>10</v>
      </c>
      <c r="C13" s="1" t="s">
        <v>19</v>
      </c>
      <c r="D13" s="1" t="s">
        <v>20</v>
      </c>
      <c r="E13" s="2">
        <v>1</v>
      </c>
      <c r="F13" s="1" t="s">
        <v>24</v>
      </c>
    </row>
    <row r="14" spans="1:6" x14ac:dyDescent="0.3">
      <c r="B14" s="4">
        <f t="shared" si="0"/>
        <v>11</v>
      </c>
      <c r="C14" s="1" t="s">
        <v>23</v>
      </c>
      <c r="D14" s="3" t="s">
        <v>64</v>
      </c>
      <c r="E14" s="4">
        <v>1</v>
      </c>
    </row>
    <row r="15" spans="1:6" x14ac:dyDescent="0.3">
      <c r="B15" s="4">
        <f t="shared" si="0"/>
        <v>12</v>
      </c>
      <c r="C15" s="1" t="s">
        <v>195</v>
      </c>
      <c r="D15" s="1" t="s">
        <v>184</v>
      </c>
      <c r="E15" s="2">
        <v>10</v>
      </c>
    </row>
    <row r="16" spans="1:6" x14ac:dyDescent="0.3">
      <c r="B16" s="4">
        <f t="shared" si="0"/>
        <v>13</v>
      </c>
      <c r="C16" s="1" t="s">
        <v>63</v>
      </c>
      <c r="D16" s="3" t="s">
        <v>65</v>
      </c>
      <c r="E16" s="4">
        <v>10</v>
      </c>
    </row>
    <row r="17" spans="1:6" x14ac:dyDescent="0.3">
      <c r="B17" s="4">
        <f t="shared" si="0"/>
        <v>14</v>
      </c>
      <c r="C17" s="1" t="s">
        <v>59</v>
      </c>
      <c r="D17" s="3" t="s">
        <v>60</v>
      </c>
      <c r="E17" s="4">
        <v>1</v>
      </c>
    </row>
    <row r="18" spans="1:6" x14ac:dyDescent="0.3">
      <c r="B18" s="4">
        <f t="shared" si="0"/>
        <v>15</v>
      </c>
      <c r="C18" s="1" t="s">
        <v>7</v>
      </c>
      <c r="D18" s="1" t="s">
        <v>8</v>
      </c>
      <c r="E18" s="2">
        <v>1</v>
      </c>
    </row>
    <row r="19" spans="1:6" x14ac:dyDescent="0.3">
      <c r="B19" s="4">
        <f t="shared" si="0"/>
        <v>16</v>
      </c>
      <c r="C19" s="1" t="s">
        <v>28</v>
      </c>
      <c r="D19" s="1" t="s">
        <v>29</v>
      </c>
      <c r="E19" s="2">
        <v>10</v>
      </c>
    </row>
    <row r="20" spans="1:6" x14ac:dyDescent="0.3">
      <c r="B20" s="4">
        <f t="shared" si="0"/>
        <v>17</v>
      </c>
      <c r="C20" s="1" t="s">
        <v>6</v>
      </c>
      <c r="D20" s="1" t="s">
        <v>5</v>
      </c>
      <c r="E20" s="2">
        <v>1</v>
      </c>
    </row>
    <row r="21" spans="1:6" x14ac:dyDescent="0.3">
      <c r="B21" s="4">
        <f t="shared" si="0"/>
        <v>18</v>
      </c>
      <c r="C21" s="1" t="s">
        <v>160</v>
      </c>
      <c r="D21" s="1" t="s">
        <v>79</v>
      </c>
      <c r="E21" s="2">
        <v>10</v>
      </c>
      <c r="F21" s="1" t="s">
        <v>80</v>
      </c>
    </row>
    <row r="22" spans="1:6" x14ac:dyDescent="0.3">
      <c r="B22" s="4">
        <f t="shared" si="0"/>
        <v>19</v>
      </c>
      <c r="C22" s="1" t="s">
        <v>159</v>
      </c>
      <c r="D22" s="1" t="s">
        <v>78</v>
      </c>
      <c r="E22" s="2">
        <v>1</v>
      </c>
    </row>
    <row r="23" spans="1:6" x14ac:dyDescent="0.3">
      <c r="B23" s="4">
        <f t="shared" si="0"/>
        <v>20</v>
      </c>
      <c r="C23" s="1" t="s">
        <v>15</v>
      </c>
      <c r="D23" s="1" t="s">
        <v>16</v>
      </c>
      <c r="E23" s="2">
        <v>10</v>
      </c>
    </row>
    <row r="26" spans="1:6" x14ac:dyDescent="0.3">
      <c r="A26" s="6" t="s">
        <v>95</v>
      </c>
    </row>
    <row r="27" spans="1:6" x14ac:dyDescent="0.3">
      <c r="B27" s="4">
        <v>1</v>
      </c>
      <c r="C27" s="1" t="s">
        <v>21</v>
      </c>
      <c r="D27" s="1" t="s">
        <v>22</v>
      </c>
      <c r="E27" s="2">
        <v>10</v>
      </c>
      <c r="F27" s="1" t="s">
        <v>25</v>
      </c>
    </row>
    <row r="28" spans="1:6" x14ac:dyDescent="0.3">
      <c r="B28" s="4">
        <f t="shared" ref="B28:B45" si="1">B27+1</f>
        <v>2</v>
      </c>
      <c r="C28" s="1" t="s">
        <v>36</v>
      </c>
      <c r="D28" s="1" t="s">
        <v>48</v>
      </c>
      <c r="E28" s="2">
        <v>10</v>
      </c>
      <c r="F28" s="1" t="s">
        <v>41</v>
      </c>
    </row>
    <row r="29" spans="1:6" ht="14.4" customHeight="1" x14ac:dyDescent="0.3">
      <c r="B29" s="4">
        <f t="shared" si="1"/>
        <v>3</v>
      </c>
      <c r="C29" s="1" t="s">
        <v>32</v>
      </c>
      <c r="D29" s="1" t="s">
        <v>44</v>
      </c>
      <c r="E29" s="2">
        <v>10</v>
      </c>
      <c r="F29" s="1" t="s">
        <v>40</v>
      </c>
    </row>
    <row r="30" spans="1:6" x14ac:dyDescent="0.3">
      <c r="B30" s="4">
        <f t="shared" si="1"/>
        <v>4</v>
      </c>
      <c r="C30" s="1" t="s">
        <v>35</v>
      </c>
      <c r="D30" s="1" t="s">
        <v>47</v>
      </c>
      <c r="E30" s="2">
        <v>10</v>
      </c>
      <c r="F30" s="1" t="s">
        <v>40</v>
      </c>
    </row>
    <row r="31" spans="1:6" ht="14.4" customHeight="1" x14ac:dyDescent="0.3">
      <c r="B31" s="4">
        <f t="shared" si="1"/>
        <v>5</v>
      </c>
      <c r="C31" s="1" t="s">
        <v>161</v>
      </c>
      <c r="D31" s="1" t="s">
        <v>54</v>
      </c>
      <c r="E31" s="2">
        <v>1000</v>
      </c>
    </row>
    <row r="32" spans="1:6" x14ac:dyDescent="0.3">
      <c r="B32" s="4">
        <f t="shared" si="1"/>
        <v>6</v>
      </c>
      <c r="C32" s="1" t="s">
        <v>38</v>
      </c>
      <c r="D32" s="1" t="s">
        <v>50</v>
      </c>
      <c r="E32" s="2">
        <v>1</v>
      </c>
    </row>
    <row r="33" spans="1:6" x14ac:dyDescent="0.3">
      <c r="B33" s="4">
        <f t="shared" si="1"/>
        <v>7</v>
      </c>
      <c r="C33" s="1" t="s">
        <v>37</v>
      </c>
      <c r="D33" s="1" t="s">
        <v>49</v>
      </c>
      <c r="E33" s="2">
        <v>10</v>
      </c>
    </row>
    <row r="34" spans="1:6" x14ac:dyDescent="0.3">
      <c r="B34" s="4">
        <f t="shared" si="1"/>
        <v>8</v>
      </c>
      <c r="C34" s="1" t="s">
        <v>30</v>
      </c>
      <c r="D34" s="1" t="s">
        <v>43</v>
      </c>
      <c r="E34" s="2">
        <v>100</v>
      </c>
    </row>
    <row r="35" spans="1:6" ht="14.4" customHeight="1" x14ac:dyDescent="0.3">
      <c r="B35" s="4">
        <f t="shared" si="1"/>
        <v>9</v>
      </c>
      <c r="C35" s="1" t="s">
        <v>34</v>
      </c>
      <c r="D35" s="1" t="s">
        <v>46</v>
      </c>
      <c r="E35" s="2">
        <v>10</v>
      </c>
      <c r="F35" s="1" t="s">
        <v>40</v>
      </c>
    </row>
    <row r="36" spans="1:6" x14ac:dyDescent="0.3">
      <c r="B36" s="4">
        <f t="shared" si="1"/>
        <v>10</v>
      </c>
      <c r="C36" s="1" t="s">
        <v>33</v>
      </c>
      <c r="D36" s="1" t="s">
        <v>45</v>
      </c>
      <c r="E36" s="2">
        <v>10</v>
      </c>
      <c r="F36" s="1" t="s">
        <v>40</v>
      </c>
    </row>
    <row r="37" spans="1:6" x14ac:dyDescent="0.3">
      <c r="B37" s="4">
        <f t="shared" si="1"/>
        <v>11</v>
      </c>
      <c r="C37" s="1" t="s">
        <v>39</v>
      </c>
      <c r="D37" s="1" t="s">
        <v>51</v>
      </c>
      <c r="E37" s="2">
        <v>10</v>
      </c>
    </row>
    <row r="38" spans="1:6" x14ac:dyDescent="0.3">
      <c r="B38" s="4">
        <f t="shared" si="1"/>
        <v>12</v>
      </c>
      <c r="C38" s="1" t="s">
        <v>178</v>
      </c>
      <c r="D38" s="1" t="s">
        <v>179</v>
      </c>
      <c r="E38" s="2">
        <v>10</v>
      </c>
    </row>
    <row r="39" spans="1:6" x14ac:dyDescent="0.3">
      <c r="B39" s="4">
        <f t="shared" si="1"/>
        <v>13</v>
      </c>
      <c r="C39" s="1" t="s">
        <v>69</v>
      </c>
      <c r="D39" s="1" t="s">
        <v>42</v>
      </c>
      <c r="E39" s="2">
        <v>1</v>
      </c>
    </row>
    <row r="40" spans="1:6" x14ac:dyDescent="0.3">
      <c r="B40" s="4">
        <f t="shared" si="1"/>
        <v>14</v>
      </c>
      <c r="C40" s="1" t="s">
        <v>70</v>
      </c>
      <c r="D40" s="1" t="s">
        <v>42</v>
      </c>
      <c r="E40" s="2">
        <v>1</v>
      </c>
    </row>
    <row r="41" spans="1:6" x14ac:dyDescent="0.3">
      <c r="B41" s="4">
        <f t="shared" si="1"/>
        <v>15</v>
      </c>
      <c r="C41" s="1" t="s">
        <v>193</v>
      </c>
      <c r="D41" s="1" t="s">
        <v>194</v>
      </c>
      <c r="E41" s="2">
        <v>1</v>
      </c>
    </row>
    <row r="42" spans="1:6" x14ac:dyDescent="0.3">
      <c r="B42" s="4">
        <f t="shared" si="1"/>
        <v>16</v>
      </c>
      <c r="C42" s="1" t="s">
        <v>53</v>
      </c>
      <c r="D42" s="1" t="s">
        <v>52</v>
      </c>
      <c r="E42" s="2">
        <v>100</v>
      </c>
    </row>
    <row r="43" spans="1:6" x14ac:dyDescent="0.3">
      <c r="B43" s="4">
        <f t="shared" si="1"/>
        <v>17</v>
      </c>
      <c r="C43" s="1" t="s">
        <v>31</v>
      </c>
      <c r="D43" s="1" t="s">
        <v>58</v>
      </c>
      <c r="E43" s="2">
        <v>10</v>
      </c>
    </row>
    <row r="44" spans="1:6" x14ac:dyDescent="0.3">
      <c r="B44" s="4">
        <f t="shared" si="1"/>
        <v>18</v>
      </c>
      <c r="C44" s="1" t="s">
        <v>61</v>
      </c>
      <c r="D44" s="1" t="s">
        <v>62</v>
      </c>
      <c r="E44" s="2">
        <v>10</v>
      </c>
    </row>
    <row r="45" spans="1:6" x14ac:dyDescent="0.3">
      <c r="B45" s="4">
        <f t="shared" si="1"/>
        <v>19</v>
      </c>
      <c r="C45" s="1" t="s">
        <v>71</v>
      </c>
      <c r="D45" s="1" t="s">
        <v>76</v>
      </c>
      <c r="E45" s="2">
        <v>1</v>
      </c>
    </row>
    <row r="47" spans="1:6" x14ac:dyDescent="0.3">
      <c r="A47" s="6" t="s">
        <v>94</v>
      </c>
    </row>
    <row r="48" spans="1:6" x14ac:dyDescent="0.3">
      <c r="B48" s="4">
        <v>1</v>
      </c>
      <c r="C48" s="1" t="s">
        <v>167</v>
      </c>
      <c r="D48" s="1" t="s">
        <v>168</v>
      </c>
      <c r="E48" s="2">
        <v>100</v>
      </c>
      <c r="F48" s="1" t="s">
        <v>162</v>
      </c>
    </row>
    <row r="49" spans="1:6" x14ac:dyDescent="0.3">
      <c r="B49" s="4">
        <f>B48+1</f>
        <v>2</v>
      </c>
      <c r="C49" s="1" t="s">
        <v>172</v>
      </c>
      <c r="D49" s="1" t="s">
        <v>132</v>
      </c>
      <c r="E49" s="2">
        <v>100</v>
      </c>
      <c r="F49" s="1" t="s">
        <v>173</v>
      </c>
    </row>
    <row r="50" spans="1:6" x14ac:dyDescent="0.3">
      <c r="B50" s="4">
        <f>B49+1</f>
        <v>3</v>
      </c>
      <c r="C50" s="1" t="s">
        <v>56</v>
      </c>
      <c r="D50" s="1" t="s">
        <v>169</v>
      </c>
      <c r="E50" s="2">
        <v>100</v>
      </c>
    </row>
    <row r="51" spans="1:6" x14ac:dyDescent="0.3">
      <c r="B51" s="4">
        <f>B50+1</f>
        <v>4</v>
      </c>
      <c r="C51" s="1" t="s">
        <v>174</v>
      </c>
      <c r="D51" s="1" t="s">
        <v>175</v>
      </c>
      <c r="E51" s="2">
        <v>100</v>
      </c>
    </row>
    <row r="52" spans="1:6" x14ac:dyDescent="0.3">
      <c r="B52" s="4">
        <f>B51+1</f>
        <v>5</v>
      </c>
      <c r="C52" s="1" t="s">
        <v>55</v>
      </c>
      <c r="D52" s="1" t="s">
        <v>170</v>
      </c>
      <c r="E52" s="2">
        <v>100</v>
      </c>
    </row>
    <row r="53" spans="1:6" x14ac:dyDescent="0.3">
      <c r="B53" s="4">
        <f>B52+1</f>
        <v>6</v>
      </c>
      <c r="C53" s="1" t="s">
        <v>57</v>
      </c>
      <c r="D53" s="1" t="s">
        <v>171</v>
      </c>
      <c r="E53" s="2">
        <v>100</v>
      </c>
    </row>
    <row r="55" spans="1:6" x14ac:dyDescent="0.3">
      <c r="A55" s="6" t="s">
        <v>93</v>
      </c>
    </row>
    <row r="56" spans="1:6" x14ac:dyDescent="0.3">
      <c r="B56" s="4">
        <f>B55+1</f>
        <v>1</v>
      </c>
      <c r="C56" s="1" t="s">
        <v>191</v>
      </c>
      <c r="D56" s="1" t="s">
        <v>187</v>
      </c>
      <c r="E56" s="2">
        <v>100</v>
      </c>
    </row>
    <row r="57" spans="1:6" x14ac:dyDescent="0.3">
      <c r="B57" s="4">
        <v>1</v>
      </c>
      <c r="C57" s="1" t="s">
        <v>113</v>
      </c>
      <c r="D57" s="1" t="s">
        <v>139</v>
      </c>
    </row>
    <row r="58" spans="1:6" x14ac:dyDescent="0.3">
      <c r="B58" s="4">
        <f t="shared" ref="B58:B90" si="2">B57+1</f>
        <v>2</v>
      </c>
      <c r="C58" s="1" t="s">
        <v>190</v>
      </c>
      <c r="D58" s="1" t="s">
        <v>192</v>
      </c>
      <c r="E58" s="2">
        <v>100</v>
      </c>
    </row>
    <row r="59" spans="1:6" x14ac:dyDescent="0.3">
      <c r="B59" s="4">
        <f t="shared" si="2"/>
        <v>3</v>
      </c>
      <c r="C59" s="1" t="s">
        <v>185</v>
      </c>
      <c r="D59" s="1" t="s">
        <v>186</v>
      </c>
      <c r="E59" s="2">
        <v>10</v>
      </c>
    </row>
    <row r="60" spans="1:6" x14ac:dyDescent="0.3">
      <c r="B60" s="4">
        <f t="shared" si="2"/>
        <v>4</v>
      </c>
      <c r="C60" s="1" t="s">
        <v>104</v>
      </c>
      <c r="D60" s="1" t="s">
        <v>137</v>
      </c>
    </row>
    <row r="61" spans="1:6" x14ac:dyDescent="0.3">
      <c r="B61" s="4">
        <f t="shared" si="2"/>
        <v>5</v>
      </c>
      <c r="C61" s="1" t="s">
        <v>109</v>
      </c>
      <c r="D61" s="1" t="s">
        <v>140</v>
      </c>
    </row>
    <row r="62" spans="1:6" x14ac:dyDescent="0.3">
      <c r="B62" s="4">
        <f t="shared" si="2"/>
        <v>6</v>
      </c>
      <c r="C62" s="1" t="s">
        <v>91</v>
      </c>
      <c r="D62" s="1" t="s">
        <v>133</v>
      </c>
    </row>
    <row r="63" spans="1:6" x14ac:dyDescent="0.3">
      <c r="B63" s="4">
        <f t="shared" si="2"/>
        <v>7</v>
      </c>
      <c r="C63" s="1" t="s">
        <v>108</v>
      </c>
      <c r="D63" s="1" t="s">
        <v>141</v>
      </c>
    </row>
    <row r="64" spans="1:6" x14ac:dyDescent="0.3">
      <c r="B64" s="4">
        <f t="shared" si="2"/>
        <v>8</v>
      </c>
      <c r="C64" s="1" t="s">
        <v>90</v>
      </c>
      <c r="D64" s="1" t="s">
        <v>99</v>
      </c>
    </row>
    <row r="65" spans="2:6" x14ac:dyDescent="0.3">
      <c r="B65" s="4">
        <f t="shared" si="2"/>
        <v>9</v>
      </c>
      <c r="C65" s="1" t="s">
        <v>87</v>
      </c>
      <c r="D65" s="1" t="s">
        <v>129</v>
      </c>
    </row>
    <row r="66" spans="2:6" x14ac:dyDescent="0.3">
      <c r="B66" s="4">
        <f t="shared" si="2"/>
        <v>10</v>
      </c>
      <c r="C66" s="1" t="s">
        <v>101</v>
      </c>
      <c r="D66" s="1" t="s">
        <v>136</v>
      </c>
    </row>
    <row r="67" spans="2:6" x14ac:dyDescent="0.3">
      <c r="B67" s="4">
        <f t="shared" si="2"/>
        <v>11</v>
      </c>
      <c r="C67" s="1" t="s">
        <v>163</v>
      </c>
      <c r="D67" s="1" t="s">
        <v>134</v>
      </c>
    </row>
    <row r="68" spans="2:6" ht="14.4" customHeight="1" x14ac:dyDescent="0.3">
      <c r="B68" s="4">
        <f t="shared" si="2"/>
        <v>12</v>
      </c>
      <c r="C68" s="1" t="s">
        <v>114</v>
      </c>
      <c r="D68" s="1" t="s">
        <v>115</v>
      </c>
    </row>
    <row r="69" spans="2:6" x14ac:dyDescent="0.3">
      <c r="B69" s="4">
        <f t="shared" si="2"/>
        <v>13</v>
      </c>
      <c r="C69" s="1" t="s">
        <v>111</v>
      </c>
      <c r="D69" s="1" t="s">
        <v>142</v>
      </c>
    </row>
    <row r="70" spans="2:6" ht="14.4" customHeight="1" x14ac:dyDescent="0.3">
      <c r="B70" s="4">
        <f t="shared" si="2"/>
        <v>14</v>
      </c>
      <c r="C70" s="1" t="s">
        <v>164</v>
      </c>
      <c r="D70" s="1" t="s">
        <v>143</v>
      </c>
      <c r="F70" s="1" t="s">
        <v>165</v>
      </c>
    </row>
    <row r="71" spans="2:6" x14ac:dyDescent="0.3">
      <c r="B71" s="4">
        <f t="shared" si="2"/>
        <v>15</v>
      </c>
      <c r="C71" s="1" t="s">
        <v>86</v>
      </c>
      <c r="D71" s="1" t="s">
        <v>128</v>
      </c>
      <c r="F71" s="1" t="s">
        <v>156</v>
      </c>
    </row>
    <row r="72" spans="2:6" ht="14.4" customHeight="1" x14ac:dyDescent="0.3">
      <c r="B72" s="4">
        <f t="shared" si="2"/>
        <v>16</v>
      </c>
      <c r="C72" s="1" t="s">
        <v>180</v>
      </c>
      <c r="D72" s="1" t="s">
        <v>181</v>
      </c>
      <c r="E72" s="2">
        <v>10</v>
      </c>
    </row>
    <row r="73" spans="2:6" x14ac:dyDescent="0.3">
      <c r="B73" s="4">
        <f t="shared" si="2"/>
        <v>17</v>
      </c>
      <c r="C73" s="1" t="s">
        <v>105</v>
      </c>
      <c r="D73" s="1" t="s">
        <v>145</v>
      </c>
    </row>
    <row r="74" spans="2:6" x14ac:dyDescent="0.3">
      <c r="B74" s="4">
        <f t="shared" si="2"/>
        <v>18</v>
      </c>
      <c r="C74" s="1" t="s">
        <v>100</v>
      </c>
      <c r="D74" s="1" t="s">
        <v>135</v>
      </c>
    </row>
    <row r="75" spans="2:6" x14ac:dyDescent="0.3">
      <c r="B75" s="4">
        <f t="shared" si="2"/>
        <v>19</v>
      </c>
      <c r="C75" s="1" t="s">
        <v>118</v>
      </c>
      <c r="D75" s="1" t="s">
        <v>146</v>
      </c>
    </row>
    <row r="76" spans="2:6" x14ac:dyDescent="0.3">
      <c r="B76" s="4">
        <f t="shared" si="2"/>
        <v>20</v>
      </c>
      <c r="C76" s="1" t="s">
        <v>120</v>
      </c>
      <c r="D76" s="1" t="s">
        <v>119</v>
      </c>
    </row>
    <row r="77" spans="2:6" x14ac:dyDescent="0.3">
      <c r="B77" s="4">
        <f t="shared" si="2"/>
        <v>21</v>
      </c>
      <c r="C77" s="1" t="s">
        <v>189</v>
      </c>
      <c r="D77" s="1" t="s">
        <v>188</v>
      </c>
      <c r="E77" s="2">
        <v>1000</v>
      </c>
    </row>
    <row r="78" spans="2:6" x14ac:dyDescent="0.3">
      <c r="B78" s="4">
        <f t="shared" si="2"/>
        <v>22</v>
      </c>
      <c r="C78" s="1" t="s">
        <v>112</v>
      </c>
      <c r="D78" s="1" t="s">
        <v>147</v>
      </c>
    </row>
    <row r="79" spans="2:6" x14ac:dyDescent="0.3">
      <c r="B79" s="4">
        <f t="shared" si="2"/>
        <v>23</v>
      </c>
      <c r="C79" s="1" t="s">
        <v>166</v>
      </c>
      <c r="D79" s="1" t="s">
        <v>144</v>
      </c>
    </row>
    <row r="80" spans="2:6" x14ac:dyDescent="0.3">
      <c r="B80" s="4">
        <f t="shared" si="2"/>
        <v>24</v>
      </c>
      <c r="C80" s="1" t="s">
        <v>182</v>
      </c>
      <c r="D80" s="1" t="s">
        <v>183</v>
      </c>
      <c r="E80" s="2">
        <v>100</v>
      </c>
    </row>
    <row r="81" spans="1:6" x14ac:dyDescent="0.3">
      <c r="B81" s="4">
        <f t="shared" si="2"/>
        <v>25</v>
      </c>
      <c r="C81" s="1" t="s">
        <v>88</v>
      </c>
      <c r="D81" s="1" t="s">
        <v>130</v>
      </c>
    </row>
    <row r="82" spans="1:6" x14ac:dyDescent="0.3">
      <c r="B82" s="4">
        <f t="shared" si="2"/>
        <v>26</v>
      </c>
      <c r="C82" s="1" t="s">
        <v>107</v>
      </c>
      <c r="D82" s="1" t="s">
        <v>148</v>
      </c>
    </row>
    <row r="83" spans="1:6" ht="14.4" customHeight="1" x14ac:dyDescent="0.3">
      <c r="B83" s="4">
        <f t="shared" si="2"/>
        <v>27</v>
      </c>
      <c r="C83" s="1" t="s">
        <v>103</v>
      </c>
      <c r="D83" s="1" t="s">
        <v>102</v>
      </c>
    </row>
    <row r="84" spans="1:6" x14ac:dyDescent="0.3">
      <c r="B84" s="4">
        <f t="shared" si="2"/>
        <v>28</v>
      </c>
      <c r="C84" s="1" t="s">
        <v>176</v>
      </c>
      <c r="D84" s="1" t="s">
        <v>177</v>
      </c>
      <c r="E84" s="2">
        <v>10</v>
      </c>
    </row>
    <row r="85" spans="1:6" x14ac:dyDescent="0.3">
      <c r="B85" s="4">
        <f t="shared" si="2"/>
        <v>29</v>
      </c>
      <c r="C85" s="1" t="s">
        <v>117</v>
      </c>
      <c r="D85" s="1" t="s">
        <v>149</v>
      </c>
    </row>
    <row r="86" spans="1:6" x14ac:dyDescent="0.3">
      <c r="B86" s="4">
        <f t="shared" si="2"/>
        <v>30</v>
      </c>
      <c r="C86" s="1" t="s">
        <v>85</v>
      </c>
      <c r="D86" s="1" t="s">
        <v>127</v>
      </c>
      <c r="F86" s="1" t="s">
        <v>158</v>
      </c>
    </row>
    <row r="87" spans="1:6" x14ac:dyDescent="0.3">
      <c r="B87" s="4">
        <f t="shared" si="2"/>
        <v>31</v>
      </c>
      <c r="C87" s="1" t="s">
        <v>82</v>
      </c>
      <c r="D87" s="1" t="s">
        <v>83</v>
      </c>
      <c r="E87" s="2" t="s">
        <v>84</v>
      </c>
    </row>
    <row r="88" spans="1:6" x14ac:dyDescent="0.3">
      <c r="B88" s="4">
        <f t="shared" si="2"/>
        <v>32</v>
      </c>
      <c r="C88" s="1" t="s">
        <v>110</v>
      </c>
      <c r="D88" s="1" t="s">
        <v>150</v>
      </c>
    </row>
    <row r="89" spans="1:6" x14ac:dyDescent="0.3">
      <c r="B89" s="4">
        <f t="shared" si="2"/>
        <v>33</v>
      </c>
      <c r="C89" s="1" t="s">
        <v>106</v>
      </c>
      <c r="D89" s="1" t="s">
        <v>151</v>
      </c>
    </row>
    <row r="90" spans="1:6" x14ac:dyDescent="0.3">
      <c r="B90" s="4">
        <f t="shared" si="2"/>
        <v>34</v>
      </c>
      <c r="C90" s="1" t="s">
        <v>116</v>
      </c>
      <c r="D90" s="1" t="s">
        <v>152</v>
      </c>
    </row>
    <row r="92" spans="1:6" x14ac:dyDescent="0.3">
      <c r="A92" s="6" t="s">
        <v>92</v>
      </c>
    </row>
    <row r="93" spans="1:6" x14ac:dyDescent="0.3">
      <c r="B93" s="4">
        <f>B92+1</f>
        <v>1</v>
      </c>
      <c r="C93" s="1" t="s">
        <v>122</v>
      </c>
      <c r="D93" s="1" t="s">
        <v>154</v>
      </c>
    </row>
    <row r="94" spans="1:6" x14ac:dyDescent="0.3">
      <c r="B94" s="4">
        <f>B93+1</f>
        <v>2</v>
      </c>
      <c r="C94" s="1" t="s">
        <v>125</v>
      </c>
      <c r="D94" s="1" t="s">
        <v>124</v>
      </c>
    </row>
    <row r="95" spans="1:6" x14ac:dyDescent="0.3">
      <c r="B95" s="4">
        <v>1</v>
      </c>
      <c r="C95" s="1" t="s">
        <v>89</v>
      </c>
      <c r="D95" s="1" t="s">
        <v>131</v>
      </c>
    </row>
    <row r="96" spans="1:6" x14ac:dyDescent="0.3">
      <c r="B96" s="4">
        <f>B95+1</f>
        <v>2</v>
      </c>
      <c r="C96" s="1" t="s">
        <v>121</v>
      </c>
      <c r="D96" s="1" t="s">
        <v>153</v>
      </c>
    </row>
    <row r="97" spans="1:4" x14ac:dyDescent="0.3">
      <c r="B97" s="4">
        <f>B96+1</f>
        <v>3</v>
      </c>
      <c r="C97" s="1" t="s">
        <v>123</v>
      </c>
      <c r="D97" s="1" t="s">
        <v>155</v>
      </c>
    </row>
    <row r="98" spans="1:4" x14ac:dyDescent="0.3">
      <c r="B98" s="4">
        <f>B97+1</f>
        <v>4</v>
      </c>
      <c r="C98" s="1" t="s">
        <v>97</v>
      </c>
      <c r="D98" s="1" t="s">
        <v>98</v>
      </c>
    </row>
    <row r="100" spans="1:4" x14ac:dyDescent="0.3">
      <c r="A100" s="6" t="s">
        <v>138</v>
      </c>
      <c r="B100" s="4">
        <f>B45+B44+B53+B90+B98</f>
        <v>81</v>
      </c>
    </row>
  </sheetData>
  <sortState xmlns:xlrd2="http://schemas.microsoft.com/office/spreadsheetml/2017/richdata2" ref="A101:F106">
    <sortCondition ref="C101:C106"/>
  </sortState>
  <hyperlinks>
    <hyperlink ref="D59" r:id="rId1" display="https://www.wildflower.org/plants/result.php?id_plant=eupe3" xr:uid="{00000000-0004-0000-0000-000000000000}"/>
    <hyperlink ref="D56" r:id="rId2" display="https://www.minnesotawildflowers.info/flower/arrow-leaved-tearthumb" xr:uid="{00000000-0004-0000-0000-000001000000}"/>
    <hyperlink ref="D77" r:id="rId3" display="https://en.wikipedia.org/wiki/Strophostyles_umbellata" xr:uid="{00000000-0004-0000-0000-000002000000}"/>
    <hyperlink ref="D58" r:id="rId4" display="https://en.wikipedia.org/wiki/Strophostyles_umbellata" xr:uid="{00000000-0004-0000-0000-000003000000}"/>
  </hyperlinks>
  <pageMargins left="0.7" right="0.7" top="0.75" bottom="0.75" header="0.3" footer="0.3"/>
  <pageSetup scale="89" fitToHeight="0" orientation="portrait" r:id="rId5"/>
  <headerFooter differentFirst="1">
    <oddHeader>&amp;C&amp;"-,Bold"Riparian North
Plant Species</oddHeader>
    <firstHeader>&amp;C&amp;"-,Bold"Riparian North
Plant Species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jbs</dc:creator>
  <cp:lastModifiedBy>john smith</cp:lastModifiedBy>
  <cp:lastPrinted>2022-06-30T22:06:16Z</cp:lastPrinted>
  <dcterms:created xsi:type="dcterms:W3CDTF">2022-05-21T19:55:43Z</dcterms:created>
  <dcterms:modified xsi:type="dcterms:W3CDTF">2025-08-08T02:19:17Z</dcterms:modified>
</cp:coreProperties>
</file>
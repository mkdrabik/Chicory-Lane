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6" yWindow="24" windowWidth="15264" windowHeight="873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0" i="1" l="1"/>
  <c r="F28" i="1"/>
  <c r="E26" i="1"/>
  <c r="D25" i="1"/>
  <c r="E25" i="1" s="1"/>
  <c r="E24" i="1"/>
  <c r="E23" i="1"/>
  <c r="E22" i="1"/>
  <c r="F19" i="1"/>
  <c r="E17" i="1"/>
  <c r="E16" i="1"/>
  <c r="E15" i="1"/>
  <c r="E14" i="1"/>
  <c r="F10" i="1"/>
  <c r="E9" i="1"/>
  <c r="E7" i="1"/>
  <c r="E6" i="1"/>
  <c r="D6" i="1"/>
  <c r="E5" i="1"/>
</calcChain>
</file>

<file path=xl/sharedStrings.xml><?xml version="1.0" encoding="utf-8"?>
<sst xmlns="http://schemas.openxmlformats.org/spreadsheetml/2006/main" count="36" uniqueCount="21">
  <si>
    <t>year</t>
  </si>
  <si>
    <t>resource</t>
  </si>
  <si>
    <t>numbers</t>
  </si>
  <si>
    <t>Lead Naturalist</t>
  </si>
  <si>
    <t>days</t>
  </si>
  <si>
    <t>Asst. Naruealists</t>
  </si>
  <si>
    <t>Images &amp; Data</t>
  </si>
  <si>
    <t>Cost</t>
  </si>
  <si>
    <t>Totoals</t>
  </si>
  <si>
    <t xml:space="preserve"> Materials &amp; Supplies</t>
  </si>
  <si>
    <t>1 day/wk. x 25 wks</t>
  </si>
  <si>
    <t>1.5 days/wk. x 25 wks.</t>
  </si>
  <si>
    <t>2 assts. X 4 months x 9 days/mth.</t>
  </si>
  <si>
    <t>1 day/wk x 25 wks</t>
  </si>
  <si>
    <t>1 day/wk x 18wks</t>
  </si>
  <si>
    <t>Writer</t>
  </si>
  <si>
    <t>CWC</t>
  </si>
  <si>
    <t>1 day/wk x 50 wks</t>
  </si>
  <si>
    <t>CWC coord. &amp; outreach</t>
  </si>
  <si>
    <t>.5 day/wk. x 25 wks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</si>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</sst>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9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tabSelected="1" workbookViewId="0">
      <selection activeCell="C33" sqref="C33"/>
    </sheetView>
  </sheetViews>
  <sheetFormatPr defaultRowHeight="14.4" x14ac:dyDescent="0.3"/>
  <cols>
    <col min="1" max="1" width="8.88671875" style="2"/>
    <col min="2" max="2" width="21.77734375" style="4" customWidth="1"/>
    <col min="3" max="3" width="28.5546875" style="8" customWidth="1"/>
    <col min="4" max="4" width="16.21875" style="3" customWidth="1"/>
    <col min="5" max="5" width="15" style="6" customWidth="1"/>
  </cols>
  <sheetData>
    <row r="1" spans="1:6" s="1" customFormat="1" x14ac:dyDescent="0.3">
      <c r="A1" s="2" t="s">
        <v>0</v>
      </c>
      <c r="B1" s="5" t="s">
        <v>1</v>
      </c>
      <c r="C1" s="8" t="s">
        <v>4</v>
      </c>
      <c r="D1" s="3" t="s">
        <v>2</v>
      </c>
      <c r="E1" s="6" t="s">
        <v>7</v>
      </c>
      <c r="F1" s="1" t="s">
        <v>8</v>
      </c>
    </row>
    <row r="3" spans="1:6" x14ac:dyDescent="0.3">
      <c r="A3" s="2">
        <v>1</v>
      </c>
    </row>
    <row r="4" spans="1:6" x14ac:dyDescent="0.3">
      <c r="B4" s="4" t="s">
        <v>3</v>
      </c>
      <c r="C4" s="8" t="s">
        <v>11</v>
      </c>
      <c r="D4" s="3">
        <v>37.5</v>
      </c>
    </row>
    <row r="5" spans="1:6" x14ac:dyDescent="0.3">
      <c r="C5" s="8" t="s">
        <v>10</v>
      </c>
      <c r="D5" s="3">
        <v>25</v>
      </c>
      <c r="E5" s="6">
        <f>(D4+D5)*160</f>
        <v>10000</v>
      </c>
    </row>
    <row r="6" spans="1:6" x14ac:dyDescent="0.3">
      <c r="B6" s="4" t="s">
        <v>5</v>
      </c>
      <c r="C6" s="8" t="s">
        <v>12</v>
      </c>
      <c r="D6" s="3">
        <f>2*4*9.5</f>
        <v>76</v>
      </c>
      <c r="E6" s="6">
        <f>D6*8*20</f>
        <v>12160</v>
      </c>
    </row>
    <row r="7" spans="1:6" x14ac:dyDescent="0.3">
      <c r="B7" s="4" t="s">
        <v>6</v>
      </c>
      <c r="C7" s="8" t="s">
        <v>14</v>
      </c>
      <c r="D7" s="3">
        <v>18</v>
      </c>
      <c r="E7" s="6">
        <f>D7*8*20</f>
        <v>2880</v>
      </c>
    </row>
    <row r="8" spans="1:6" x14ac:dyDescent="0.3">
      <c r="B8" s="4" t="s">
        <v>9</v>
      </c>
      <c r="E8" s="6">
        <v>2000</v>
      </c>
    </row>
    <row r="9" spans="1:6" x14ac:dyDescent="0.3">
      <c r="B9" s="4" t="s">
        <v>16</v>
      </c>
      <c r="C9" s="8" t="s">
        <v>10</v>
      </c>
      <c r="D9" s="3">
        <v>25</v>
      </c>
      <c r="E9" s="6">
        <f>D9*8*25</f>
        <v>5000</v>
      </c>
      <c r="F9" s="7"/>
    </row>
    <row r="10" spans="1:6" x14ac:dyDescent="0.3">
      <c r="F10" s="7">
        <f>SUM(E5:E9)</f>
        <v>32040</v>
      </c>
    </row>
    <row r="13" spans="1:6" x14ac:dyDescent="0.3">
      <c r="A13" s="2">
        <v>2</v>
      </c>
    </row>
    <row r="14" spans="1:6" x14ac:dyDescent="0.3">
      <c r="B14" s="4" t="s">
        <v>3</v>
      </c>
      <c r="C14" s="8" t="s">
        <v>10</v>
      </c>
      <c r="D14" s="3">
        <v>25</v>
      </c>
      <c r="E14" s="6">
        <f>(D14)*160</f>
        <v>4000</v>
      </c>
    </row>
    <row r="15" spans="1:6" x14ac:dyDescent="0.3">
      <c r="B15" s="4" t="s">
        <v>6</v>
      </c>
      <c r="C15" s="8" t="s">
        <v>13</v>
      </c>
      <c r="D15" s="3">
        <v>25</v>
      </c>
      <c r="E15" s="6">
        <f>D15*8*20</f>
        <v>4000</v>
      </c>
    </row>
    <row r="16" spans="1:6" x14ac:dyDescent="0.3">
      <c r="B16" s="4" t="s">
        <v>15</v>
      </c>
      <c r="C16" s="8" t="s">
        <v>13</v>
      </c>
      <c r="D16" s="3">
        <v>25</v>
      </c>
      <c r="E16" s="6">
        <f>D16*8*20</f>
        <v>4000</v>
      </c>
    </row>
    <row r="17" spans="1:6" x14ac:dyDescent="0.3">
      <c r="B17" s="4" t="s">
        <v>18</v>
      </c>
      <c r="C17" s="8" t="s">
        <v>17</v>
      </c>
      <c r="D17" s="3">
        <v>50</v>
      </c>
      <c r="E17" s="6">
        <f>D17*8*30</f>
        <v>12000</v>
      </c>
    </row>
    <row r="18" spans="1:6" x14ac:dyDescent="0.3">
      <c r="B18" s="4" t="s">
        <v>9</v>
      </c>
      <c r="E18" s="6">
        <v>1000</v>
      </c>
    </row>
    <row r="19" spans="1:6" x14ac:dyDescent="0.3">
      <c r="F19" s="7">
        <f>SUM(E14:E18)</f>
        <v>25000</v>
      </c>
    </row>
    <row r="21" spans="1:6" x14ac:dyDescent="0.3">
      <c r="A21" s="2">
        <v>3</v>
      </c>
    </row>
    <row r="22" spans="1:6" x14ac:dyDescent="0.3">
      <c r="B22" s="4" t="s">
        <v>3</v>
      </c>
      <c r="C22" s="8" t="s">
        <v>19</v>
      </c>
      <c r="D22" s="3">
        <v>12.5</v>
      </c>
      <c r="E22" s="6">
        <f>(D22)*160</f>
        <v>2000</v>
      </c>
    </row>
    <row r="23" spans="1:6" x14ac:dyDescent="0.3">
      <c r="B23" s="4" t="s">
        <v>18</v>
      </c>
      <c r="C23" s="8" t="s">
        <v>17</v>
      </c>
      <c r="D23" s="3">
        <v>50</v>
      </c>
      <c r="E23" s="6">
        <f>D23*8*30</f>
        <v>12000</v>
      </c>
    </row>
    <row r="24" spans="1:6" x14ac:dyDescent="0.3">
      <c r="C24" s="8" t="s">
        <v>13</v>
      </c>
      <c r="D24" s="3">
        <v>25</v>
      </c>
      <c r="E24" s="6">
        <f>D24*8*30</f>
        <v>6000</v>
      </c>
    </row>
    <row r="25" spans="1:6" x14ac:dyDescent="0.3">
      <c r="B25" s="4" t="s">
        <v>5</v>
      </c>
      <c r="C25" s="8" t="s">
        <v>12</v>
      </c>
      <c r="D25" s="3">
        <f>2*4*9.5</f>
        <v>76</v>
      </c>
      <c r="E25" s="6">
        <f>D25*8*20</f>
        <v>12160</v>
      </c>
    </row>
    <row r="26" spans="1:6" x14ac:dyDescent="0.3">
      <c r="B26" s="4" t="s">
        <v>6</v>
      </c>
      <c r="C26" s="8" t="s">
        <v>13</v>
      </c>
      <c r="D26" s="3">
        <v>25</v>
      </c>
      <c r="E26" s="6">
        <f>D26*8*20</f>
        <v>4000</v>
      </c>
    </row>
    <row r="27" spans="1:6" x14ac:dyDescent="0.3">
      <c r="B27" s="4" t="s">
        <v>9</v>
      </c>
      <c r="E27" s="6">
        <v>1000</v>
      </c>
    </row>
    <row r="28" spans="1:6" x14ac:dyDescent="0.3">
      <c r="F28" s="7">
        <f>SUM(E23:E27)</f>
        <v>35160</v>
      </c>
    </row>
    <row r="30" spans="1:6" x14ac:dyDescent="0.3">
      <c r="A30" s="2" t="s">
        <v>20</v>
      </c>
      <c r="F30" s="7">
        <f>F10+F19+F28</f>
        <v>92200</v>
      </c>
    </row>
  </sheetData>
  <pageMargins left="0.7" right="0.7" top="0.75" bottom="0.75" header="0.3" footer="0.3"/>
  <pageSetup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2022-12-06T17:22:26Z</cp:lastPrinted>
  <dcterms:created xsi:type="dcterms:W3CDTF">2022-12-05T22:36:26Z</dcterms:created>
  <dcterms:modified xsi:type="dcterms:W3CDTF">2022-12-10T15:51:54Z</dcterms:modified>
</cp:coreProperties>
</file>